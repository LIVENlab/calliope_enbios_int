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mique\PycharmProjects\JW4A_D1_3_Spain\prepare_lci_data\data\input\"/>
    </mc:Choice>
  </mc:AlternateContent>
  <xr:revisionPtr revIDLastSave="0" documentId="13_ncr:1_{FB64C3CD-43B3-4DC6-840C-14606DB083F2}" xr6:coauthVersionLast="47" xr6:coauthVersionMax="47" xr10:uidLastSave="{00000000-0000-0000-0000-000000000000}"/>
  <bookViews>
    <workbookView xWindow="28680" yWindow="-120" windowWidth="29040" windowHeight="15720" xr2:uid="{E483199A-3DCC-4D63-A5BA-5178B22AC2B3}"/>
  </bookViews>
  <sheets>
    <sheet name="o&amp;m" sheetId="1" r:id="rId1"/>
    <sheet name="infrastructure" sheetId="2" r:id="rId2"/>
  </sheets>
  <definedNames>
    <definedName name="_xlnm._FilterDatabase" localSheetId="1" hidden="1">infrastructure!$A$1:$R$30</definedName>
    <definedName name="_xlnm._FilterDatabase" localSheetId="0" hidden="1">'o&amp;m'!$A$1:$S$25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4" i="2" l="1"/>
  <c r="P10" i="2"/>
  <c r="P9" i="2"/>
  <c r="P8" i="2"/>
  <c r="P7" i="2"/>
  <c r="P6" i="2"/>
  <c r="P5" i="2"/>
  <c r="P26" i="2"/>
  <c r="P31" i="2"/>
  <c r="P3" i="2"/>
  <c r="P2" i="2"/>
  <c r="P12" i="2"/>
  <c r="P11" i="2"/>
  <c r="P19" i="2" l="1"/>
  <c r="P21" i="2"/>
  <c r="P22" i="2"/>
  <c r="P27" i="2"/>
  <c r="K15" i="2"/>
  <c r="P15" i="2" s="1"/>
  <c r="P24" i="2" l="1"/>
  <c r="P18" i="2"/>
  <c r="P30" i="2"/>
  <c r="P29" i="2"/>
  <c r="P28" i="2"/>
  <c r="P25" i="2"/>
  <c r="P23" i="2"/>
  <c r="P20" i="2"/>
  <c r="P17" i="2"/>
  <c r="P16" i="2"/>
  <c r="P1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tc={4D0FAA37-1D40-49BB-82B5-C4599AC8D15C}</author>
  </authors>
  <commentList>
    <comment ref="D1" authorId="0" shapeId="0" xr:uid="{4D0FAA37-1D40-49BB-82B5-C4599AC8D15C}">
      <text>
        <t>[Comentari en fils]
La vostra versió de l'Excel us permet llegir aquest comentari en fils. No obstant això, les edicions que s'hi apliquin se suprimiran si el fitxer s'obre en una versió més recent de l'Excel. Més informació: https://go.microsoft.com/fwlink/?linkid=870924.
Comentari:
    It must match Calliope's carrier</t>
      </text>
    </comment>
  </commentList>
</comments>
</file>

<file path=xl/sharedStrings.xml><?xml version="1.0" encoding="utf-8"?>
<sst xmlns="http://schemas.openxmlformats.org/spreadsheetml/2006/main" count="740" uniqueCount="161">
  <si>
    <t>id</t>
  </si>
  <si>
    <t>technology_name_calliope</t>
  </si>
  <si>
    <t>category</t>
  </si>
  <si>
    <t>carrier</t>
  </si>
  <si>
    <t>lhv_out</t>
  </si>
  <si>
    <t>lhv_unit</t>
  </si>
  <si>
    <t>fraction</t>
  </si>
  <si>
    <t>life_cycle_inventory_name</t>
  </si>
  <si>
    <t>prod_reference_product</t>
  </si>
  <si>
    <t>prod_location</t>
  </si>
  <si>
    <t>prod_database</t>
  </si>
  <si>
    <t>prod_value</t>
  </si>
  <si>
    <t>prod_unit</t>
  </si>
  <si>
    <t>calliope_file</t>
  </si>
  <si>
    <t>calliope_prod_value</t>
  </si>
  <si>
    <t>calliope_prod_unit</t>
  </si>
  <si>
    <t>prod_scaling_factor</t>
  </si>
  <si>
    <t>data_source_and_adaptations</t>
  </si>
  <si>
    <t>Carrier conversion</t>
  </si>
  <si>
    <t>kWh/kg</t>
  </si>
  <si>
    <t>NA</t>
  </si>
  <si>
    <t>RER</t>
  </si>
  <si>
    <t>additional_acts</t>
  </si>
  <si>
    <t>kilogram</t>
  </si>
  <si>
    <t>carrier_prod</t>
  </si>
  <si>
    <t>GWh</t>
  </si>
  <si>
    <t>CH</t>
  </si>
  <si>
    <t>premise_base</t>
  </si>
  <si>
    <t>Ecoinvent v3.9.1</t>
  </si>
  <si>
    <t>From premise additional inventories.</t>
  </si>
  <si>
    <t>electrolysis</t>
  </si>
  <si>
    <t>hydrogen</t>
  </si>
  <si>
    <t>hydrogen production, from electrolyser fleet, for enbios</t>
  </si>
  <si>
    <t>New inventory. Hydrogen is produced via a market of Alkaline Electrolyzers (AEC), Proton Exchange Membrane (PEM), and Solid Oxide Electrolyzer Cells (SOEC) with different shares.</t>
  </si>
  <si>
    <t>airborne_wind</t>
  </si>
  <si>
    <t>Electricity</t>
  </si>
  <si>
    <t>electricity</t>
  </si>
  <si>
    <t>airborne wind system, 328MW, maintenance</t>
  </si>
  <si>
    <t>MW</t>
  </si>
  <si>
    <t>energy_cap</t>
  </si>
  <si>
    <t>GW</t>
  </si>
  <si>
    <t>New inventory, maintenance adapted from Wilhelm (2015) (https://tore.tuhh.de/dspace-cris-server/api/core/bitstreams/9a7034cd-46ad-479a-9d6c-2370915b8216/content). The reference flow is 328 MW, and that is why we need to calculate its impacts from the energy_cap file from Calliope instead of carrier_prod.</t>
  </si>
  <si>
    <t>ccgt</t>
  </si>
  <si>
    <t>electricity production, natural gas, combined cycle power plant</t>
  </si>
  <si>
    <t>kilowatt hour</t>
  </si>
  <si>
    <t>chp_biofuel_extraction</t>
  </si>
  <si>
    <t>heat and power co-generation, wood chips, 6667 kW, state-of-the-art 2014</t>
  </si>
  <si>
    <t>chp_hydrogen</t>
  </si>
  <si>
    <t>electricity, residential, by conversion of hydrogen using fuel cell, PEM, allocated by exergy, distributed by pipeline, produced by Electrolysis, PEM using electricity from grid</t>
  </si>
  <si>
    <t>chp_methane_extraction</t>
  </si>
  <si>
    <t>heat and power co-generation, natural gas, combined cycle power plant, 400MW electrical</t>
  </si>
  <si>
    <t>chp_wte_back_pressure</t>
  </si>
  <si>
    <t>treatment of municipal solid waste, incineration</t>
  </si>
  <si>
    <t>Adapted from Ecoinvent v3.9.1. Cutoff modelling in Ecoinvent does not assign environmental burdens to waste incineration. Because we want to account for those, we take the activity from Ecoinvent's v3.9.1 'allocation at the point of substitution' equivalent activity and remove its technosphere to account only for the burning of the waste.</t>
  </si>
  <si>
    <t>hydro_reservoir</t>
  </si>
  <si>
    <t>electricity production, hydro, reservoir, non-alpine region</t>
  </si>
  <si>
    <t>ES</t>
  </si>
  <si>
    <t>Adapted from Ecoinvent. The oringinal 'electricity production, hydro, reservoir, non-alpine region' contains the land use occupation and transformation and also the direct emissions during flooding operations. We consider that these biosphere flows should be part of the infrastructure inventory, as the land is occupied by the infrastracture and also because the emissions reported in the inventory happen during the installation (not the operation or maintenance). Therefore, we transfer these biosphere flows from 'electricity production, hydro, reservoir, non-alpine region' to the infrastructure inventory.</t>
  </si>
  <si>
    <t>hydro_run_of_river</t>
  </si>
  <si>
    <t>electricity production, hydro, run-of-river</t>
  </si>
  <si>
    <t>CA-QC</t>
  </si>
  <si>
    <t>Adapted from Ecoinvent. The oringinal 'electricity production, hydro, run-of-river' contains the land use occupation and transformation and also the direct emissions during flooding operations. We consider that these biosphere flows should be part of the infrastructure inventory, as the land is occupied by the infrastracture and also because the emissions reported in the inventory happen during the installation (not the operation or maintenance). Therefore, we transfer these biosphere flows from 'electricity production, hydro, reservoir, non-alpine region' to the infrastructure inventory.</t>
  </si>
  <si>
    <t>nuclear</t>
  </si>
  <si>
    <t>electricity production, nuclear, pressure water reactor</t>
  </si>
  <si>
    <t>wind_offshore</t>
  </si>
  <si>
    <t>New inventory, which consists of the maintenance of a fleet created with WindTrace (Sierra-Montoya et al., 2025). Several turbines and their shares can be designed, by specifying the following parameters: Rated power, manufacturer, rotor diameter, hub height, commissioning year, generator type, recycled steel share, lifetime and eol scenario. By default, we defined the fleet with 4 MW, 6 MW and 8 MW turbines with the same share each. The reference flow is 1 MW, and that is why we need to calculate its impacts from the energy_cap file from Calliope instead of carrier_prod.</t>
  </si>
  <si>
    <t>wind_onshore_competing</t>
  </si>
  <si>
    <t>wind_onshore_monopoly</t>
  </si>
  <si>
    <t>GLO</t>
  </si>
  <si>
    <t>kilometer</t>
  </si>
  <si>
    <t>geographical_scope</t>
  </si>
  <si>
    <t>cap_value</t>
  </si>
  <si>
    <t>calliope_energy_cap_value</t>
  </si>
  <si>
    <t>comments</t>
  </si>
  <si>
    <t>offsite</t>
  </si>
  <si>
    <t>nan</t>
  </si>
  <si>
    <t>Premise additional inventories.</t>
  </si>
  <si>
    <t>electrolyser, fleet, 1 MWh/h, for enbios</t>
  </si>
  <si>
    <t>New inventory. Adaptable with the function hydrogen_from_electrolysis_market(). Any share between Alkaline Electrolyzers (AEC), Proton Exchange Membrane (PEM), and Solid Oxide Electrolyzer Cells (SOEC) can be provided. It considers the production rates of each technology, which according to their inventories (premise additional inventories) are 3085961 kg/lifetime, 2964315 kg/lifetime, and 3779894 kg/lifetime, respectively. We assumed 20 years lifetime for the stack and 5 years for the balance of plant. Also, we assumed 8000 h of operation per year. The inventories include  the end-of-life treatment of the waste after the lifetime of the technology. Finally, we re-scaled land use occupation and transformation flows from the original premise dataset. By default we consider SOEC to have 50% of the market by 2050, while AEC and PEM will have 30% and 20%, respectively, but these numbers can be adjusted.</t>
  </si>
  <si>
    <t>None</t>
  </si>
  <si>
    <t>gas power plant construction, combined cycle, 400MW electrical</t>
  </si>
  <si>
    <t>municipal solid waste incinerator</t>
  </si>
  <si>
    <t>Adapted from Ecoinvent. We added in the same inventory: furnace production, wood chips, with silo, 5000kW (1 unit), heat and power co-generation unit construction, organic Rankine cycle, 1000kW electrical (1 unit), and dust collector production, electrostatic precipitator, for industrial use (1 unit)</t>
  </si>
  <si>
    <t>fuel cell system assembly, 1 kWe, proton exchange membrane (PEM)</t>
  </si>
  <si>
    <t>hydropower plant construction, reservoir, non-alpine regions</t>
  </si>
  <si>
    <t>To our understanding, there is no difference in the inventories for alpine and non-alpine regions, and therefore we will use non-alpine regions' inventories to represent both.</t>
  </si>
  <si>
    <t>hydropower plant construction, run-of-river</t>
  </si>
  <si>
    <t>CA-QC inventory chosen as it is clear the power capacity that the system is describing while that is not the case for other locations.</t>
  </si>
  <si>
    <t>nuclear power plant construction, pressure water reactor, 1000MW</t>
  </si>
  <si>
    <t>We chose Pressure Water Reactor instead of Boiling Water Reactor inventory, as PWR is more prevalent in Europe (https://www.spglobal.com/en/research-insights/special-reports/is-europe-ready-for-a-nuclear-renaissance)</t>
  </si>
  <si>
    <t>open_field_pv</t>
  </si>
  <si>
    <t>photovoltaic, open ground, 570 kWp, for enbios</t>
  </si>
  <si>
    <t>New inventory, which consists of a fleet of 570 kWp with the following technologies: CdTe, CIS, micro-Si, multi-Si, single-Si. Inventories to create the fleet come from premise additonal inventories. By default shares are: 2% CdTe, 0% CIS, 0% micro-Si, 1% multi-Si, 97% single-Si, as proposed in in the BaU scenario in the Photovoltaics Report (2024) - Fraunhofer Institute (https://www.ise.fraunhofer.de/en/publications/studies/photovoltaics-report.html)</t>
  </si>
  <si>
    <t>roof_mounted_pv</t>
  </si>
  <si>
    <t>photovoltaic slanted-roof installation, 1MW, fleet, for enbios</t>
  </si>
  <si>
    <t>New inventory, which consists of a fleet of 1 MWp, which is actually a fleet of fleets: 3kWp (single-Si, CIS, a-Si, multi-Si, CdTe, ribbon-Si), 93kWp, 156kWp, 280kWp (multi-Si, single-Si). By default shares are: 2% CdTe, 0% CIS, 0% micro-Si, 1% multi-Si, 97% single-Si, as proposed in the BaU scenario in the Photovoltaics Report (2024) - Fraunhofer Institute (https://www.ise.fraunhofer.de/en/publications/studies/photovoltaics-report.html)</t>
  </si>
  <si>
    <t>We use only integrated installations (no laminated). We left aside perovskite-on-silicon and GaAs technlogies, as their inventories have a different format.</t>
  </si>
  <si>
    <t>New inventory, which consists of a fleet created with WindTrace (Sierra-Montoya et al., 2025). Several turbines and their shares can be designed, by specifying the following parameters: Rated power, manufacturer, rotor diameter, hub height, commissioning year, generator type, recycled steel share, lifetime, eol scenario, offshore foundations type, sea depth and distance to shore. By default, we defined the fleet with 14 MW (based on the SG 14-222 DD ), and 10 MW (based on the V154-10MW; 5%). For both cases the shares are as follows: gravity-based foundations (5%), monopile (20%), tripod (10%), floating spar-buoy (15%).</t>
  </si>
  <si>
    <t>New inventory, which consists of a fleet created with WindTrace (Sierra-Montoya et al., 2025). Several turbines and their shares can be designed, by specifying the following parameters: Rated power, manufacturer, rotor diameter, hub height, commissioning year, generator type, recycled steel share, lifetime and eol scenario. By default, we defined the fleet with 4 MW, 6 MW and 8 MW turbines with the same share each.</t>
  </si>
  <si>
    <t>battery</t>
  </si>
  <si>
    <t>Storage</t>
  </si>
  <si>
    <t>storage_cap</t>
  </si>
  <si>
    <t>Premise additional inventories includes market for battery capacity, stationary (TC scenario) or (CONT scenario), where TC refers to a rapid adoption of newer sub-technologies, and CONT refers to the continuity of existing market trends (data originally from Schlichenmaier and Naegler, 2022 [https://doi.org/10.1016/j.egyr.2022.11.025])</t>
  </si>
  <si>
    <t>Calliope units are 100 GWh of energy stored</t>
  </si>
  <si>
    <t>hydrogen_storage</t>
  </si>
  <si>
    <t>kg</t>
  </si>
  <si>
    <t>pumped_hydro</t>
  </si>
  <si>
    <t>To our understanding, there is no difference in the inventories for alpine and non-alpine regions, and therefore we will use non-alpine regions' inventories to represent both. Calliope units are 100 GWh of energy stored</t>
  </si>
  <si>
    <t>ac_ohl_mountain_transmission</t>
  </si>
  <si>
    <t>Transmission</t>
  </si>
  <si>
    <t>transmission network construction, electricity, medium voltage</t>
  </si>
  <si>
    <t>ac_ohl_transmission</t>
  </si>
  <si>
    <t>dc_ohl_transmission</t>
  </si>
  <si>
    <t>transmission network construction, electricity, high voltage direct current aerial line</t>
  </si>
  <si>
    <t>dc_underground_transmission</t>
  </si>
  <si>
    <t>transmission network construction, electricity, high voltage direct current land cable</t>
  </si>
  <si>
    <t>hard_coal</t>
  </si>
  <si>
    <t>lignite</t>
  </si>
  <si>
    <t>nuclear_boiling</t>
  </si>
  <si>
    <t>oil</t>
  </si>
  <si>
    <t>solar_parabolic</t>
  </si>
  <si>
    <t>solar_tower</t>
  </si>
  <si>
    <t>import_FR</t>
  </si>
  <si>
    <t>import_MA</t>
  </si>
  <si>
    <t>import_PT</t>
  </si>
  <si>
    <t>comment</t>
  </si>
  <si>
    <t>biogas</t>
  </si>
  <si>
    <t>electricity production, hard coal</t>
  </si>
  <si>
    <t>electricity production, lignite</t>
  </si>
  <si>
    <t>electricity production, nuclear, boiling water reactor</t>
  </si>
  <si>
    <t>electricity production, oil</t>
  </si>
  <si>
    <t>electricity production, solar thermal parabolic trough, 50 MW</t>
  </si>
  <si>
    <t>electricity production, solar tower power plant, 20 MW</t>
  </si>
  <si>
    <t>heat and power co-generation, biogas, gas engine</t>
  </si>
  <si>
    <t>electricity, high voltage, import from FR</t>
  </si>
  <si>
    <t>electricity, high voltage, import from MA</t>
  </si>
  <si>
    <t>electricity, high voltage, import from PT</t>
  </si>
  <si>
    <t>market for hard coal power plant</t>
  </si>
  <si>
    <t>lignite power plant construction</t>
  </si>
  <si>
    <t>market for nuclear power plant, boiling water reactor 1000MW</t>
  </si>
  <si>
    <t>oil power plant construction, 500MW</t>
  </si>
  <si>
    <t>market for concentrated solar power plant, solar thermal parabolic trough, 50 MW</t>
  </si>
  <si>
    <t>market for concentrated solar power plant, solar tower, 20 MW</t>
  </si>
  <si>
    <t>offshore wind turbine fleet, 1 MW, maintenance, for enbios, ES</t>
  </si>
  <si>
    <t>biogas infrastructure, 160kW</t>
  </si>
  <si>
    <t>offshore wind turbine fleet, 1 MW, for enbios, ES</t>
  </si>
  <si>
    <t>onshore wind turbine fleet, 1 MW, for enbios, ES</t>
  </si>
  <si>
    <t>gas_turbine</t>
  </si>
  <si>
    <t>electricity production, natural gas, conventional power plant</t>
  </si>
  <si>
    <t>gas power plant construction, 100MW electrical</t>
  </si>
  <si>
    <t>onshore wind turbine fleet, 1 kWh, maintenance, for enbios, ES</t>
  </si>
  <si>
    <t>km</t>
  </si>
  <si>
    <t>Premise additional inventories. Spanish plan explicitly mentions geological storage</t>
  </si>
  <si>
    <t>geological hydrogen storage</t>
  </si>
  <si>
    <t>market for battery capacity, stationary (CONT scenario)</t>
  </si>
  <si>
    <t>default_carrier</t>
  </si>
  <si>
    <t>dc_subsea_transmission</t>
  </si>
  <si>
    <t>transmission network construction, electricity, high voltage direct current subsea cable</t>
  </si>
  <si>
    <t>solar_pv</t>
  </si>
  <si>
    <t>electricity production, pv, operation (empty)</t>
  </si>
  <si>
    <t>Created from scratch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</si>
</sst>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Aptos Narrow"/>
      <family val="2"/>
      <scheme val="minor"/>
    </font>
    <font>
      <b/>
      <sz val="11"/>
      <color theme="1"/>
      <name val="Aptos Narrow"/>
      <family val="2"/>
      <scheme val="minor"/>
    </font>
    <font>
      <sz val="11"/>
      <name val="Aptos Narrow"/>
      <family val="2"/>
      <scheme val="minor"/>
    </font>
    <font>
      <b/>
      <sz val="11"/>
      <color rgb="FFFF0000"/>
      <name val="Aptos Narrow"/>
      <family val="2"/>
      <scheme val="minor"/>
    </font>
    <font>
      <sz val="8"/>
      <name val="Aptos Narrow"/>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2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11" fontId="0" fillId="0" borderId="0" xfId="0" applyNumberFormat="1" applyAlignment="1">
      <alignment horizontal="center" vertical="center" wrapText="1"/>
    </xf>
    <xf numFmtId="11" fontId="0" fillId="0" borderId="0" xfId="0" applyNumberFormat="1" applyAlignment="1">
      <alignment horizontal="left" vertical="center" wrapText="1"/>
    </xf>
    <xf numFmtId="0" fontId="0" fillId="0" borderId="0" xfId="0" applyAlignment="1">
      <alignment wrapText="1"/>
    </xf>
    <xf numFmtId="0" fontId="2" fillId="0" borderId="0" xfId="0" applyFont="1" applyAlignment="1">
      <alignment horizontal="center" vertical="center" wrapText="1"/>
    </xf>
    <xf numFmtId="0" fontId="0" fillId="0" borderId="0" xfId="0" applyAlignment="1">
      <alignment vertical="center"/>
    </xf>
    <xf numFmtId="0" fontId="3" fillId="0" borderId="0" xfId="0" applyFont="1" applyAlignment="1">
      <alignment wrapText="1"/>
    </xf>
    <xf numFmtId="0" fontId="3" fillId="0" borderId="0" xfId="0" applyFont="1" applyAlignment="1">
      <alignment vertical="center" wrapText="1"/>
    </xf>
    <xf numFmtId="0" fontId="0" fillId="0" borderId="0" xfId="0" applyAlignment="1">
      <alignment horizontal="center" vertical="center"/>
    </xf>
    <xf numFmtId="164" fontId="0" fillId="0" borderId="0" xfId="0" applyNumberFormat="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0" xfId="0" applyFont="1" applyAlignment="1">
      <alignment horizontal="center" vertical="center"/>
    </xf>
    <xf numFmtId="0" fontId="1" fillId="0" borderId="0" xfId="0" applyFont="1" applyAlignment="1">
      <alignment horizontal="left" vertical="center"/>
    </xf>
    <xf numFmtId="11" fontId="1" fillId="0" borderId="0" xfId="0" applyNumberFormat="1" applyFont="1" applyAlignment="1">
      <alignment horizontal="center" vertical="center" wrapText="1"/>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quel Sierra Montoya" id="{89D7F005-A4C9-4D61-9762-D74DD3FC42E4}" userId="S::1361185@uab.cat::1a887b38-0396-4545-a8a2-e49e15219001" providerId="AD"/>
</personList>
</file>

<file path=xl/theme/theme1.xml><?xml version="1.0" encoding="utf-8"?>
<a:theme xmlns:a="http://schemas.openxmlformats.org/drawingml/2006/main" name="Tema de l'Office">
  <a:themeElements>
    <a:clrScheme name="Ofici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ici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ici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1" dT="2025-05-19T12:40:19.60" personId="{89D7F005-A4C9-4D61-9762-D74DD3FC42E4}" id="{4D0FAA37-1D40-49BB-82B5-C4599AC8D15C}">
    <text>It must match Calliope's carrier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40B3C-0A48-4138-B2DB-F3CA0DBFF7EF}">
  <dimension ref="A1:S26"/>
  <sheetViews>
    <sheetView tabSelected="1" workbookViewId="0">
      <selection activeCell="D30" sqref="D30"/>
    </sheetView>
  </sheetViews>
  <sheetFormatPr defaultRowHeight="15" x14ac:dyDescent="0.25"/>
  <cols>
    <col min="1" max="1" width="9.140625" style="16"/>
    <col min="2" max="2" width="37.5703125" customWidth="1"/>
    <col min="3" max="3" width="13.140625" customWidth="1"/>
    <col min="4" max="4" width="19.42578125" customWidth="1"/>
    <col min="7" max="7" width="7.140625" customWidth="1"/>
    <col min="8" max="8" width="115" customWidth="1"/>
    <col min="11" max="11" width="17.42578125" customWidth="1"/>
    <col min="14" max="14" width="22.140625" customWidth="1"/>
  </cols>
  <sheetData>
    <row r="1" spans="1:19" x14ac:dyDescent="0.25">
      <c r="A1" s="13"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4" t="s">
        <v>15</v>
      </c>
      <c r="Q1" s="14" t="s">
        <v>16</v>
      </c>
      <c r="R1" s="14" t="s">
        <v>17</v>
      </c>
      <c r="S1" s="15" t="s">
        <v>125</v>
      </c>
    </row>
    <row r="2" spans="1:19" x14ac:dyDescent="0.25">
      <c r="A2" s="19">
        <v>8</v>
      </c>
      <c r="B2" t="s">
        <v>30</v>
      </c>
      <c r="C2" t="s">
        <v>18</v>
      </c>
      <c r="D2" t="s">
        <v>31</v>
      </c>
      <c r="E2">
        <v>33.299999999999997</v>
      </c>
      <c r="F2" t="s">
        <v>19</v>
      </c>
      <c r="G2" t="s">
        <v>20</v>
      </c>
      <c r="H2" t="s">
        <v>32</v>
      </c>
      <c r="I2" t="s">
        <v>31</v>
      </c>
      <c r="J2" t="s">
        <v>21</v>
      </c>
      <c r="K2" t="s">
        <v>22</v>
      </c>
      <c r="L2">
        <v>1</v>
      </c>
      <c r="M2" t="s">
        <v>23</v>
      </c>
      <c r="N2" t="s">
        <v>24</v>
      </c>
      <c r="O2">
        <v>100</v>
      </c>
      <c r="P2" t="s">
        <v>25</v>
      </c>
      <c r="Q2">
        <v>3003003.0030030031</v>
      </c>
      <c r="R2" t="s">
        <v>33</v>
      </c>
    </row>
    <row r="3" spans="1:19" x14ac:dyDescent="0.25">
      <c r="A3" s="16">
        <v>67</v>
      </c>
      <c r="B3" t="s">
        <v>34</v>
      </c>
      <c r="C3" t="s">
        <v>35</v>
      </c>
      <c r="D3" t="s">
        <v>36</v>
      </c>
      <c r="G3" t="s">
        <v>20</v>
      </c>
      <c r="H3" t="s">
        <v>37</v>
      </c>
      <c r="I3" t="s">
        <v>36</v>
      </c>
      <c r="J3" t="s">
        <v>21</v>
      </c>
      <c r="K3" t="s">
        <v>22</v>
      </c>
      <c r="L3">
        <v>328</v>
      </c>
      <c r="M3" t="s">
        <v>38</v>
      </c>
      <c r="N3" t="s">
        <v>39</v>
      </c>
      <c r="O3">
        <v>100</v>
      </c>
      <c r="P3" t="s">
        <v>40</v>
      </c>
      <c r="Q3">
        <v>304.8780487804878</v>
      </c>
      <c r="R3" t="s">
        <v>41</v>
      </c>
    </row>
    <row r="4" spans="1:19" x14ac:dyDescent="0.25">
      <c r="A4" s="16">
        <v>14</v>
      </c>
      <c r="B4" t="s">
        <v>126</v>
      </c>
      <c r="C4" t="s">
        <v>35</v>
      </c>
      <c r="D4" t="s">
        <v>36</v>
      </c>
      <c r="G4" t="s">
        <v>20</v>
      </c>
      <c r="H4" t="s">
        <v>133</v>
      </c>
      <c r="I4" t="s">
        <v>36</v>
      </c>
      <c r="J4" t="s">
        <v>56</v>
      </c>
      <c r="K4" t="s">
        <v>27</v>
      </c>
      <c r="L4">
        <v>1</v>
      </c>
      <c r="M4" t="s">
        <v>44</v>
      </c>
      <c r="N4" t="s">
        <v>24</v>
      </c>
      <c r="O4">
        <v>100</v>
      </c>
      <c r="P4" t="s">
        <v>25</v>
      </c>
      <c r="Q4">
        <v>100000000</v>
      </c>
      <c r="R4" t="s">
        <v>28</v>
      </c>
    </row>
    <row r="5" spans="1:19" x14ac:dyDescent="0.25">
      <c r="A5" s="16">
        <v>16</v>
      </c>
      <c r="B5" t="s">
        <v>42</v>
      </c>
      <c r="C5" t="s">
        <v>35</v>
      </c>
      <c r="D5" t="s">
        <v>36</v>
      </c>
      <c r="G5" t="s">
        <v>20</v>
      </c>
      <c r="H5" t="s">
        <v>43</v>
      </c>
      <c r="I5" t="s">
        <v>36</v>
      </c>
      <c r="J5" t="s">
        <v>56</v>
      </c>
      <c r="K5" t="s">
        <v>27</v>
      </c>
      <c r="L5">
        <v>1</v>
      </c>
      <c r="M5" t="s">
        <v>44</v>
      </c>
      <c r="N5" t="s">
        <v>24</v>
      </c>
      <c r="O5">
        <v>100</v>
      </c>
      <c r="P5" t="s">
        <v>25</v>
      </c>
      <c r="Q5">
        <v>100000000</v>
      </c>
      <c r="R5" t="s">
        <v>28</v>
      </c>
    </row>
    <row r="6" spans="1:19" x14ac:dyDescent="0.25">
      <c r="A6" s="16">
        <v>18</v>
      </c>
      <c r="B6" t="s">
        <v>45</v>
      </c>
      <c r="C6" t="s">
        <v>35</v>
      </c>
      <c r="D6" t="s">
        <v>36</v>
      </c>
      <c r="G6" t="s">
        <v>20</v>
      </c>
      <c r="H6" t="s">
        <v>46</v>
      </c>
      <c r="I6" t="s">
        <v>36</v>
      </c>
      <c r="J6" t="s">
        <v>56</v>
      </c>
      <c r="K6" t="s">
        <v>27</v>
      </c>
      <c r="L6">
        <v>1</v>
      </c>
      <c r="M6" t="s">
        <v>44</v>
      </c>
      <c r="N6" t="s">
        <v>24</v>
      </c>
      <c r="O6">
        <v>100</v>
      </c>
      <c r="P6" t="s">
        <v>25</v>
      </c>
      <c r="Q6">
        <v>100000000</v>
      </c>
      <c r="R6" t="s">
        <v>28</v>
      </c>
    </row>
    <row r="7" spans="1:19" x14ac:dyDescent="0.25">
      <c r="A7" s="16">
        <v>20</v>
      </c>
      <c r="B7" t="s">
        <v>47</v>
      </c>
      <c r="C7" t="s">
        <v>35</v>
      </c>
      <c r="D7" t="s">
        <v>36</v>
      </c>
      <c r="G7" t="s">
        <v>20</v>
      </c>
      <c r="H7" t="s">
        <v>48</v>
      </c>
      <c r="I7" t="s">
        <v>36</v>
      </c>
      <c r="J7" t="s">
        <v>26</v>
      </c>
      <c r="K7" t="s">
        <v>27</v>
      </c>
      <c r="L7">
        <v>1</v>
      </c>
      <c r="M7" t="s">
        <v>44</v>
      </c>
      <c r="N7" t="s">
        <v>24</v>
      </c>
      <c r="O7">
        <v>100</v>
      </c>
      <c r="P7" t="s">
        <v>25</v>
      </c>
      <c r="Q7">
        <v>100000000</v>
      </c>
      <c r="R7" t="s">
        <v>29</v>
      </c>
    </row>
    <row r="8" spans="1:19" x14ac:dyDescent="0.25">
      <c r="A8" s="16">
        <v>23</v>
      </c>
      <c r="B8" t="s">
        <v>49</v>
      </c>
      <c r="C8" t="s">
        <v>35</v>
      </c>
      <c r="D8" t="s">
        <v>36</v>
      </c>
      <c r="G8" t="s">
        <v>20</v>
      </c>
      <c r="H8" t="s">
        <v>50</v>
      </c>
      <c r="I8" t="s">
        <v>36</v>
      </c>
      <c r="J8" t="s">
        <v>56</v>
      </c>
      <c r="K8" t="s">
        <v>27</v>
      </c>
      <c r="L8">
        <v>1</v>
      </c>
      <c r="M8" t="s">
        <v>44</v>
      </c>
      <c r="N8" t="s">
        <v>24</v>
      </c>
      <c r="O8">
        <v>100</v>
      </c>
      <c r="P8" t="s">
        <v>25</v>
      </c>
      <c r="Q8">
        <v>100000000</v>
      </c>
      <c r="R8" t="s">
        <v>28</v>
      </c>
    </row>
    <row r="9" spans="1:19" x14ac:dyDescent="0.25">
      <c r="A9" s="16">
        <v>26</v>
      </c>
      <c r="B9" t="s">
        <v>51</v>
      </c>
      <c r="C9" t="s">
        <v>35</v>
      </c>
      <c r="D9" t="s">
        <v>36</v>
      </c>
      <c r="G9" t="s">
        <v>20</v>
      </c>
      <c r="H9" t="s">
        <v>52</v>
      </c>
      <c r="I9" t="s">
        <v>36</v>
      </c>
      <c r="J9" t="s">
        <v>56</v>
      </c>
      <c r="K9" t="s">
        <v>22</v>
      </c>
      <c r="L9">
        <v>1</v>
      </c>
      <c r="M9" t="s">
        <v>44</v>
      </c>
      <c r="N9" t="s">
        <v>24</v>
      </c>
      <c r="O9">
        <v>100</v>
      </c>
      <c r="P9" t="s">
        <v>25</v>
      </c>
      <c r="Q9">
        <v>100000000</v>
      </c>
      <c r="R9" t="s">
        <v>53</v>
      </c>
    </row>
    <row r="10" spans="1:19" x14ac:dyDescent="0.25">
      <c r="A10" s="16">
        <v>37</v>
      </c>
      <c r="B10" t="s">
        <v>116</v>
      </c>
      <c r="C10" t="s">
        <v>35</v>
      </c>
      <c r="D10" t="s">
        <v>36</v>
      </c>
      <c r="G10" t="s">
        <v>20</v>
      </c>
      <c r="H10" t="s">
        <v>127</v>
      </c>
      <c r="I10" t="s">
        <v>36</v>
      </c>
      <c r="J10" t="s">
        <v>56</v>
      </c>
      <c r="K10" t="s">
        <v>27</v>
      </c>
      <c r="L10">
        <v>1</v>
      </c>
      <c r="M10" t="s">
        <v>44</v>
      </c>
      <c r="N10" t="s">
        <v>24</v>
      </c>
      <c r="O10">
        <v>100</v>
      </c>
      <c r="P10" t="s">
        <v>25</v>
      </c>
      <c r="Q10">
        <v>100000000</v>
      </c>
      <c r="R10" t="s">
        <v>28</v>
      </c>
    </row>
    <row r="11" spans="1:19" x14ac:dyDescent="0.25">
      <c r="A11" s="16">
        <v>41</v>
      </c>
      <c r="B11" t="s">
        <v>54</v>
      </c>
      <c r="C11" t="s">
        <v>35</v>
      </c>
      <c r="D11" t="s">
        <v>36</v>
      </c>
      <c r="G11" t="s">
        <v>20</v>
      </c>
      <c r="H11" t="s">
        <v>55</v>
      </c>
      <c r="I11" t="s">
        <v>36</v>
      </c>
      <c r="J11" t="s">
        <v>56</v>
      </c>
      <c r="K11" t="s">
        <v>22</v>
      </c>
      <c r="L11">
        <v>1</v>
      </c>
      <c r="M11" t="s">
        <v>44</v>
      </c>
      <c r="N11" t="s">
        <v>24</v>
      </c>
      <c r="O11">
        <v>100</v>
      </c>
      <c r="P11" t="s">
        <v>25</v>
      </c>
      <c r="Q11">
        <v>100000000</v>
      </c>
      <c r="R11" t="s">
        <v>57</v>
      </c>
    </row>
    <row r="12" spans="1:19" x14ac:dyDescent="0.25">
      <c r="A12" s="16">
        <v>42</v>
      </c>
      <c r="B12" t="s">
        <v>58</v>
      </c>
      <c r="C12" t="s">
        <v>35</v>
      </c>
      <c r="D12" t="s">
        <v>36</v>
      </c>
      <c r="G12" t="s">
        <v>20</v>
      </c>
      <c r="H12" t="s">
        <v>59</v>
      </c>
      <c r="I12" t="s">
        <v>36</v>
      </c>
      <c r="J12" t="s">
        <v>60</v>
      </c>
      <c r="K12" t="s">
        <v>22</v>
      </c>
      <c r="L12">
        <v>1</v>
      </c>
      <c r="M12" t="s">
        <v>44</v>
      </c>
      <c r="N12" t="s">
        <v>24</v>
      </c>
      <c r="O12">
        <v>100</v>
      </c>
      <c r="P12" t="s">
        <v>25</v>
      </c>
      <c r="Q12">
        <v>100000000</v>
      </c>
      <c r="R12" t="s">
        <v>61</v>
      </c>
    </row>
    <row r="13" spans="1:19" x14ac:dyDescent="0.25">
      <c r="A13" s="16">
        <v>72</v>
      </c>
      <c r="B13" t="s">
        <v>122</v>
      </c>
      <c r="C13" t="s">
        <v>35</v>
      </c>
      <c r="D13" t="s">
        <v>36</v>
      </c>
      <c r="G13" t="s">
        <v>20</v>
      </c>
      <c r="H13" t="s">
        <v>134</v>
      </c>
      <c r="I13" t="s">
        <v>36</v>
      </c>
      <c r="J13" t="s">
        <v>56</v>
      </c>
      <c r="K13" t="s">
        <v>27</v>
      </c>
      <c r="L13">
        <v>1</v>
      </c>
      <c r="M13" t="s">
        <v>44</v>
      </c>
      <c r="N13" t="s">
        <v>24</v>
      </c>
      <c r="O13">
        <v>100</v>
      </c>
      <c r="P13" t="s">
        <v>25</v>
      </c>
      <c r="Q13">
        <v>100000000</v>
      </c>
      <c r="R13" t="s">
        <v>28</v>
      </c>
    </row>
    <row r="14" spans="1:19" x14ac:dyDescent="0.25">
      <c r="A14" s="16">
        <v>73</v>
      </c>
      <c r="B14" t="s">
        <v>123</v>
      </c>
      <c r="C14" t="s">
        <v>35</v>
      </c>
      <c r="D14" t="s">
        <v>36</v>
      </c>
      <c r="G14" t="s">
        <v>20</v>
      </c>
      <c r="H14" t="s">
        <v>135</v>
      </c>
      <c r="I14" t="s">
        <v>36</v>
      </c>
      <c r="J14" t="s">
        <v>56</v>
      </c>
      <c r="K14" t="s">
        <v>27</v>
      </c>
      <c r="L14">
        <v>1</v>
      </c>
      <c r="M14" t="s">
        <v>44</v>
      </c>
      <c r="N14" t="s">
        <v>24</v>
      </c>
      <c r="O14">
        <v>100</v>
      </c>
      <c r="P14" t="s">
        <v>25</v>
      </c>
      <c r="Q14">
        <v>100000001</v>
      </c>
      <c r="R14" t="s">
        <v>28</v>
      </c>
    </row>
    <row r="15" spans="1:19" x14ac:dyDescent="0.25">
      <c r="A15" s="16">
        <v>74</v>
      </c>
      <c r="B15" t="s">
        <v>124</v>
      </c>
      <c r="C15" t="s">
        <v>35</v>
      </c>
      <c r="D15" t="s">
        <v>36</v>
      </c>
      <c r="G15" t="s">
        <v>20</v>
      </c>
      <c r="H15" t="s">
        <v>136</v>
      </c>
      <c r="I15" t="s">
        <v>36</v>
      </c>
      <c r="J15" t="s">
        <v>56</v>
      </c>
      <c r="K15" t="s">
        <v>27</v>
      </c>
      <c r="L15">
        <v>1</v>
      </c>
      <c r="M15" t="s">
        <v>44</v>
      </c>
      <c r="N15" t="s">
        <v>24</v>
      </c>
      <c r="O15">
        <v>100</v>
      </c>
      <c r="P15" t="s">
        <v>25</v>
      </c>
      <c r="Q15">
        <v>100000002</v>
      </c>
      <c r="R15" t="s">
        <v>28</v>
      </c>
    </row>
    <row r="16" spans="1:19" x14ac:dyDescent="0.25">
      <c r="A16" s="16">
        <v>50</v>
      </c>
      <c r="B16" t="s">
        <v>117</v>
      </c>
      <c r="C16" t="s">
        <v>35</v>
      </c>
      <c r="D16" t="s">
        <v>36</v>
      </c>
      <c r="G16" t="s">
        <v>20</v>
      </c>
      <c r="H16" t="s">
        <v>128</v>
      </c>
      <c r="I16" t="s">
        <v>36</v>
      </c>
      <c r="J16" t="s">
        <v>56</v>
      </c>
      <c r="K16" t="s">
        <v>27</v>
      </c>
      <c r="L16">
        <v>1</v>
      </c>
      <c r="M16" t="s">
        <v>44</v>
      </c>
      <c r="N16" t="s">
        <v>24</v>
      </c>
      <c r="O16">
        <v>100</v>
      </c>
      <c r="P16" t="s">
        <v>25</v>
      </c>
      <c r="Q16">
        <v>100000000</v>
      </c>
      <c r="R16" t="s">
        <v>28</v>
      </c>
    </row>
    <row r="17" spans="1:18" x14ac:dyDescent="0.25">
      <c r="A17" s="16">
        <v>54</v>
      </c>
      <c r="B17" t="s">
        <v>62</v>
      </c>
      <c r="C17" t="s">
        <v>35</v>
      </c>
      <c r="D17" t="s">
        <v>36</v>
      </c>
      <c r="G17" t="s">
        <v>20</v>
      </c>
      <c r="H17" t="s">
        <v>63</v>
      </c>
      <c r="I17" t="s">
        <v>36</v>
      </c>
      <c r="J17" t="s">
        <v>56</v>
      </c>
      <c r="K17" t="s">
        <v>27</v>
      </c>
      <c r="L17">
        <v>1</v>
      </c>
      <c r="M17" t="s">
        <v>44</v>
      </c>
      <c r="N17" t="s">
        <v>24</v>
      </c>
      <c r="O17">
        <v>100</v>
      </c>
      <c r="P17" t="s">
        <v>25</v>
      </c>
      <c r="Q17">
        <v>100000000</v>
      </c>
      <c r="R17" t="s">
        <v>28</v>
      </c>
    </row>
    <row r="18" spans="1:18" x14ac:dyDescent="0.25">
      <c r="A18" s="16">
        <v>55</v>
      </c>
      <c r="B18" t="s">
        <v>118</v>
      </c>
      <c r="C18" t="s">
        <v>35</v>
      </c>
      <c r="D18" t="s">
        <v>36</v>
      </c>
      <c r="G18" t="s">
        <v>20</v>
      </c>
      <c r="H18" t="s">
        <v>129</v>
      </c>
      <c r="I18" t="s">
        <v>36</v>
      </c>
      <c r="J18" t="s">
        <v>56</v>
      </c>
      <c r="K18" t="s">
        <v>27</v>
      </c>
      <c r="L18">
        <v>1</v>
      </c>
      <c r="M18" t="s">
        <v>44</v>
      </c>
      <c r="N18" t="s">
        <v>24</v>
      </c>
      <c r="O18">
        <v>100</v>
      </c>
      <c r="P18" t="s">
        <v>25</v>
      </c>
      <c r="Q18">
        <v>100000000</v>
      </c>
      <c r="R18" t="s">
        <v>28</v>
      </c>
    </row>
    <row r="19" spans="1:18" x14ac:dyDescent="0.25">
      <c r="A19" s="16">
        <v>56</v>
      </c>
      <c r="B19" t="s">
        <v>119</v>
      </c>
      <c r="C19" t="s">
        <v>35</v>
      </c>
      <c r="D19" t="s">
        <v>36</v>
      </c>
      <c r="G19" t="s">
        <v>20</v>
      </c>
      <c r="H19" t="s">
        <v>130</v>
      </c>
      <c r="I19" t="s">
        <v>36</v>
      </c>
      <c r="J19" t="s">
        <v>56</v>
      </c>
      <c r="K19" t="s">
        <v>27</v>
      </c>
      <c r="L19">
        <v>1</v>
      </c>
      <c r="M19" t="s">
        <v>44</v>
      </c>
      <c r="N19" t="s">
        <v>24</v>
      </c>
      <c r="O19">
        <v>100</v>
      </c>
      <c r="P19" t="s">
        <v>25</v>
      </c>
      <c r="Q19">
        <v>100000000</v>
      </c>
      <c r="R19" t="s">
        <v>28</v>
      </c>
    </row>
    <row r="20" spans="1:18" x14ac:dyDescent="0.25">
      <c r="A20" s="16">
        <v>61</v>
      </c>
      <c r="B20" t="s">
        <v>120</v>
      </c>
      <c r="C20" t="s">
        <v>35</v>
      </c>
      <c r="D20" t="s">
        <v>36</v>
      </c>
      <c r="G20" t="s">
        <v>20</v>
      </c>
      <c r="H20" t="s">
        <v>131</v>
      </c>
      <c r="I20" t="s">
        <v>36</v>
      </c>
      <c r="J20" t="s">
        <v>56</v>
      </c>
      <c r="K20" t="s">
        <v>27</v>
      </c>
      <c r="L20">
        <v>1</v>
      </c>
      <c r="M20" t="s">
        <v>44</v>
      </c>
      <c r="N20" t="s">
        <v>24</v>
      </c>
      <c r="O20">
        <v>100</v>
      </c>
      <c r="P20" t="s">
        <v>25</v>
      </c>
      <c r="Q20">
        <v>100000000</v>
      </c>
      <c r="R20" t="s">
        <v>28</v>
      </c>
    </row>
    <row r="21" spans="1:18" x14ac:dyDescent="0.25">
      <c r="A21" s="16">
        <v>63</v>
      </c>
      <c r="B21" t="s">
        <v>121</v>
      </c>
      <c r="C21" t="s">
        <v>35</v>
      </c>
      <c r="D21" t="s">
        <v>36</v>
      </c>
      <c r="G21" t="s">
        <v>20</v>
      </c>
      <c r="H21" t="s">
        <v>132</v>
      </c>
      <c r="I21" t="s">
        <v>36</v>
      </c>
      <c r="J21" t="s">
        <v>56</v>
      </c>
      <c r="K21" t="s">
        <v>27</v>
      </c>
      <c r="L21">
        <v>1</v>
      </c>
      <c r="M21" t="s">
        <v>44</v>
      </c>
      <c r="N21" t="s">
        <v>24</v>
      </c>
      <c r="O21">
        <v>100</v>
      </c>
      <c r="P21" t="s">
        <v>25</v>
      </c>
      <c r="Q21">
        <v>100000000</v>
      </c>
      <c r="R21" t="s">
        <v>28</v>
      </c>
    </row>
    <row r="22" spans="1:18" x14ac:dyDescent="0.25">
      <c r="A22" s="16">
        <v>64</v>
      </c>
      <c r="B22" t="s">
        <v>64</v>
      </c>
      <c r="C22" t="s">
        <v>35</v>
      </c>
      <c r="D22" t="s">
        <v>36</v>
      </c>
      <c r="G22" t="s">
        <v>20</v>
      </c>
      <c r="H22" t="s">
        <v>143</v>
      </c>
      <c r="I22" t="s">
        <v>36</v>
      </c>
      <c r="J22" t="s">
        <v>56</v>
      </c>
      <c r="K22" t="s">
        <v>22</v>
      </c>
      <c r="L22">
        <v>1</v>
      </c>
      <c r="M22" t="s">
        <v>38</v>
      </c>
      <c r="N22" t="s">
        <v>39</v>
      </c>
      <c r="O22">
        <v>100</v>
      </c>
      <c r="P22" t="s">
        <v>40</v>
      </c>
      <c r="Q22">
        <v>100000</v>
      </c>
      <c r="R22" t="s">
        <v>65</v>
      </c>
    </row>
    <row r="23" spans="1:18" x14ac:dyDescent="0.25">
      <c r="A23" s="16">
        <v>65</v>
      </c>
      <c r="B23" t="s">
        <v>66</v>
      </c>
      <c r="C23" t="s">
        <v>35</v>
      </c>
      <c r="D23" t="s">
        <v>36</v>
      </c>
      <c r="G23" t="s">
        <v>20</v>
      </c>
      <c r="H23" t="s">
        <v>150</v>
      </c>
      <c r="I23" t="s">
        <v>36</v>
      </c>
      <c r="J23" t="s">
        <v>56</v>
      </c>
      <c r="K23" t="s">
        <v>22</v>
      </c>
      <c r="L23">
        <v>1</v>
      </c>
      <c r="M23" t="s">
        <v>44</v>
      </c>
      <c r="N23" t="s">
        <v>24</v>
      </c>
      <c r="O23">
        <v>100</v>
      </c>
      <c r="P23" t="s">
        <v>25</v>
      </c>
      <c r="Q23">
        <v>100000000</v>
      </c>
      <c r="R23" t="s">
        <v>65</v>
      </c>
    </row>
    <row r="24" spans="1:18" x14ac:dyDescent="0.25">
      <c r="A24" s="16">
        <v>66</v>
      </c>
      <c r="B24" t="s">
        <v>67</v>
      </c>
      <c r="C24" t="s">
        <v>35</v>
      </c>
      <c r="D24" t="s">
        <v>36</v>
      </c>
      <c r="G24" t="s">
        <v>20</v>
      </c>
      <c r="H24" t="s">
        <v>150</v>
      </c>
      <c r="I24" t="s">
        <v>36</v>
      </c>
      <c r="J24" t="s">
        <v>56</v>
      </c>
      <c r="K24" t="s">
        <v>22</v>
      </c>
      <c r="L24">
        <v>1</v>
      </c>
      <c r="M24" t="s">
        <v>44</v>
      </c>
      <c r="N24" t="s">
        <v>24</v>
      </c>
      <c r="O24">
        <v>101</v>
      </c>
      <c r="P24" t="s">
        <v>25</v>
      </c>
      <c r="Q24">
        <v>100000000</v>
      </c>
      <c r="R24" t="s">
        <v>65</v>
      </c>
    </row>
    <row r="25" spans="1:18" x14ac:dyDescent="0.25">
      <c r="A25" s="16">
        <v>79</v>
      </c>
      <c r="B25" t="s">
        <v>147</v>
      </c>
      <c r="C25" t="s">
        <v>35</v>
      </c>
      <c r="D25" t="s">
        <v>36</v>
      </c>
      <c r="G25" t="s">
        <v>20</v>
      </c>
      <c r="H25" t="s">
        <v>148</v>
      </c>
      <c r="I25" t="s">
        <v>36</v>
      </c>
      <c r="J25" t="s">
        <v>56</v>
      </c>
      <c r="K25" t="s">
        <v>27</v>
      </c>
      <c r="L25">
        <v>1</v>
      </c>
      <c r="M25" t="s">
        <v>44</v>
      </c>
      <c r="N25" t="s">
        <v>24</v>
      </c>
      <c r="O25">
        <v>100</v>
      </c>
      <c r="P25" t="s">
        <v>25</v>
      </c>
      <c r="Q25">
        <v>100000000</v>
      </c>
      <c r="R25" t="s">
        <v>28</v>
      </c>
    </row>
    <row r="26" spans="1:18" x14ac:dyDescent="0.25">
      <c r="A26" s="16">
        <v>79</v>
      </c>
      <c r="B26" t="s">
        <v>158</v>
      </c>
      <c r="C26" t="s">
        <v>35</v>
      </c>
      <c r="D26" t="s">
        <v>36</v>
      </c>
      <c r="G26" t="s">
        <v>20</v>
      </c>
      <c r="H26" t="s">
        <v>159</v>
      </c>
      <c r="I26" t="s">
        <v>36</v>
      </c>
      <c r="J26" t="s">
        <v>56</v>
      </c>
      <c r="K26" t="s">
        <v>22</v>
      </c>
      <c r="L26">
        <v>1</v>
      </c>
      <c r="M26" t="s">
        <v>44</v>
      </c>
      <c r="N26" t="s">
        <v>24</v>
      </c>
      <c r="O26">
        <v>100</v>
      </c>
      <c r="P26" t="s">
        <v>25</v>
      </c>
      <c r="Q26">
        <v>100000000</v>
      </c>
      <c r="R26" t="s">
        <v>160</v>
      </c>
    </row>
  </sheetData>
  <sortState xmlns:xlrd2="http://schemas.microsoft.com/office/spreadsheetml/2017/richdata2" ref="A3:S25">
    <sortCondition ref="B1:B25"/>
  </sortState>
  <phoneticPr fontId="4"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E04BF-65A1-4E2F-8950-AC77E7853D75}">
  <dimension ref="A1:X31"/>
  <sheetViews>
    <sheetView topLeftCell="A8" zoomScaleNormal="100" workbookViewId="0">
      <selection activeCell="A27" sqref="A27:XFD27"/>
    </sheetView>
  </sheetViews>
  <sheetFormatPr defaultColWidth="9.140625" defaultRowHeight="15" x14ac:dyDescent="0.25"/>
  <cols>
    <col min="1" max="1" width="5.85546875" style="6" customWidth="1"/>
    <col min="2" max="2" width="7" style="6" customWidth="1"/>
    <col min="3" max="3" width="33.28515625" style="2" customWidth="1"/>
    <col min="4" max="5" width="19.140625" style="2" customWidth="1"/>
    <col min="6" max="7" width="12.42578125" style="3" customWidth="1"/>
    <col min="8" max="8" width="42.140625" style="3" customWidth="1"/>
    <col min="9" max="9" width="14.5703125" style="3" customWidth="1"/>
    <col min="10" max="10" width="22.140625" style="3" customWidth="1"/>
    <col min="11" max="11" width="12.5703125" style="3" customWidth="1"/>
    <col min="12" max="12" width="20.28515625" style="3" customWidth="1"/>
    <col min="13" max="13" width="22.140625" style="3" customWidth="1"/>
    <col min="14" max="14" width="13.42578125" style="3" customWidth="1"/>
    <col min="15" max="15" width="24.85546875" style="3" customWidth="1"/>
    <col min="16" max="16" width="24.85546875" style="4" customWidth="1"/>
    <col min="17" max="17" width="118.28515625" style="5" customWidth="1"/>
    <col min="18" max="18" width="80.28515625" style="2" customWidth="1"/>
    <col min="19" max="19" width="11.5703125" style="6" bestFit="1" customWidth="1"/>
    <col min="20" max="16384" width="9.140625" style="6"/>
  </cols>
  <sheetData>
    <row r="1" spans="1:24" s="1" customFormat="1" ht="30" x14ac:dyDescent="0.25">
      <c r="A1" s="1" t="s">
        <v>0</v>
      </c>
      <c r="B1" s="17" t="s">
        <v>70</v>
      </c>
      <c r="C1" s="1" t="s">
        <v>1</v>
      </c>
      <c r="D1" s="1" t="s">
        <v>2</v>
      </c>
      <c r="E1" s="1" t="s">
        <v>3</v>
      </c>
      <c r="F1" s="1" t="s">
        <v>4</v>
      </c>
      <c r="G1" s="1" t="s">
        <v>5</v>
      </c>
      <c r="H1" s="1" t="s">
        <v>7</v>
      </c>
      <c r="I1" s="1" t="s">
        <v>9</v>
      </c>
      <c r="J1" s="1" t="s">
        <v>10</v>
      </c>
      <c r="K1" s="1" t="s">
        <v>71</v>
      </c>
      <c r="L1" s="1" t="s">
        <v>12</v>
      </c>
      <c r="M1" s="1" t="s">
        <v>13</v>
      </c>
      <c r="N1" s="1" t="s">
        <v>72</v>
      </c>
      <c r="O1" s="1" t="s">
        <v>15</v>
      </c>
      <c r="P1" s="18" t="s">
        <v>16</v>
      </c>
      <c r="Q1" s="18" t="s">
        <v>17</v>
      </c>
      <c r="R1" s="1" t="s">
        <v>73</v>
      </c>
    </row>
    <row r="2" spans="1:24" ht="30" x14ac:dyDescent="0.25">
      <c r="A2" s="1">
        <v>1</v>
      </c>
      <c r="B2" s="1" t="s">
        <v>74</v>
      </c>
      <c r="C2" s="8" t="s">
        <v>108</v>
      </c>
      <c r="D2" s="8" t="s">
        <v>109</v>
      </c>
      <c r="E2" s="8" t="s">
        <v>155</v>
      </c>
      <c r="F2" s="3" t="s">
        <v>75</v>
      </c>
      <c r="G2" s="3" t="s">
        <v>75</v>
      </c>
      <c r="H2" s="3" t="s">
        <v>110</v>
      </c>
      <c r="I2" s="11" t="s">
        <v>26</v>
      </c>
      <c r="J2" s="3" t="s">
        <v>27</v>
      </c>
      <c r="K2" s="3">
        <v>1</v>
      </c>
      <c r="L2" s="11" t="s">
        <v>69</v>
      </c>
      <c r="M2" s="3" t="s">
        <v>39</v>
      </c>
      <c r="N2" s="3">
        <v>100000</v>
      </c>
      <c r="O2" s="3" t="s">
        <v>151</v>
      </c>
      <c r="P2" s="4">
        <f>100000/K2</f>
        <v>100000</v>
      </c>
      <c r="Q2" s="5" t="s">
        <v>28</v>
      </c>
      <c r="R2" s="2" t="s">
        <v>79</v>
      </c>
    </row>
    <row r="3" spans="1:24" ht="30" x14ac:dyDescent="0.25">
      <c r="A3" s="1">
        <v>2</v>
      </c>
      <c r="B3" s="1" t="s">
        <v>74</v>
      </c>
      <c r="C3" s="8" t="s">
        <v>111</v>
      </c>
      <c r="D3" s="8" t="s">
        <v>109</v>
      </c>
      <c r="E3" s="8" t="s">
        <v>155</v>
      </c>
      <c r="F3" s="3" t="s">
        <v>75</v>
      </c>
      <c r="G3" s="3" t="s">
        <v>75</v>
      </c>
      <c r="H3" s="3" t="s">
        <v>110</v>
      </c>
      <c r="I3" s="11" t="s">
        <v>26</v>
      </c>
      <c r="J3" s="3" t="s">
        <v>27</v>
      </c>
      <c r="K3" s="3">
        <v>1</v>
      </c>
      <c r="L3" s="11" t="s">
        <v>69</v>
      </c>
      <c r="M3" s="3" t="s">
        <v>39</v>
      </c>
      <c r="N3" s="3">
        <v>100000</v>
      </c>
      <c r="O3" s="3" t="s">
        <v>151</v>
      </c>
      <c r="P3" s="4">
        <f>100000/K3</f>
        <v>100000</v>
      </c>
      <c r="Q3" s="5" t="s">
        <v>28</v>
      </c>
      <c r="R3" s="2" t="s">
        <v>79</v>
      </c>
    </row>
    <row r="4" spans="1:24" ht="45" x14ac:dyDescent="0.25">
      <c r="A4" s="1">
        <v>5</v>
      </c>
      <c r="B4" s="1" t="s">
        <v>74</v>
      </c>
      <c r="C4" s="2" t="s">
        <v>99</v>
      </c>
      <c r="D4" s="2" t="s">
        <v>100</v>
      </c>
      <c r="E4" s="8" t="s">
        <v>155</v>
      </c>
      <c r="F4" s="3" t="s">
        <v>75</v>
      </c>
      <c r="G4" s="3" t="s">
        <v>75</v>
      </c>
      <c r="H4" s="3" t="s">
        <v>154</v>
      </c>
      <c r="I4" s="3" t="s">
        <v>68</v>
      </c>
      <c r="J4" s="3" t="s">
        <v>22</v>
      </c>
      <c r="K4" s="3">
        <v>1</v>
      </c>
      <c r="L4" s="3" t="s">
        <v>44</v>
      </c>
      <c r="M4" s="3" t="s">
        <v>101</v>
      </c>
      <c r="N4" s="3">
        <v>100</v>
      </c>
      <c r="O4" s="3" t="s">
        <v>25</v>
      </c>
      <c r="P4" s="4">
        <v>100000000</v>
      </c>
      <c r="Q4" s="5" t="s">
        <v>102</v>
      </c>
      <c r="R4" s="2" t="s">
        <v>103</v>
      </c>
    </row>
    <row r="5" spans="1:24" x14ac:dyDescent="0.25">
      <c r="A5" s="1">
        <v>14</v>
      </c>
      <c r="B5" s="1" t="s">
        <v>74</v>
      </c>
      <c r="C5" t="s">
        <v>126</v>
      </c>
      <c r="D5" s="2" t="s">
        <v>35</v>
      </c>
      <c r="E5" s="8" t="s">
        <v>155</v>
      </c>
      <c r="F5" s="3" t="s">
        <v>75</v>
      </c>
      <c r="G5" s="3" t="s">
        <v>75</v>
      </c>
      <c r="H5" s="3" t="s">
        <v>144</v>
      </c>
      <c r="I5" s="3" t="s">
        <v>21</v>
      </c>
      <c r="J5" s="3" t="s">
        <v>22</v>
      </c>
      <c r="K5" s="3">
        <v>0.16</v>
      </c>
      <c r="L5" s="3" t="s">
        <v>38</v>
      </c>
      <c r="M5" s="3" t="s">
        <v>39</v>
      </c>
      <c r="N5" s="3">
        <v>100</v>
      </c>
      <c r="O5" s="3" t="s">
        <v>40</v>
      </c>
      <c r="P5" s="4">
        <f>100000/K5</f>
        <v>625000</v>
      </c>
    </row>
    <row r="6" spans="1:24" ht="30" x14ac:dyDescent="0.25">
      <c r="A6" s="1">
        <v>16</v>
      </c>
      <c r="B6" s="1" t="s">
        <v>74</v>
      </c>
      <c r="C6" s="2" t="s">
        <v>42</v>
      </c>
      <c r="D6" s="2" t="s">
        <v>35</v>
      </c>
      <c r="E6" s="8" t="s">
        <v>155</v>
      </c>
      <c r="F6" s="3" t="s">
        <v>75</v>
      </c>
      <c r="G6" s="3" t="s">
        <v>75</v>
      </c>
      <c r="H6" s="3" t="s">
        <v>80</v>
      </c>
      <c r="I6" s="3" t="s">
        <v>21</v>
      </c>
      <c r="J6" s="3" t="s">
        <v>27</v>
      </c>
      <c r="K6" s="3">
        <v>400</v>
      </c>
      <c r="L6" s="3" t="s">
        <v>38</v>
      </c>
      <c r="M6" s="3" t="s">
        <v>39</v>
      </c>
      <c r="N6" s="3">
        <v>100</v>
      </c>
      <c r="O6" s="3" t="s">
        <v>40</v>
      </c>
      <c r="P6" s="4">
        <f>100000/K6</f>
        <v>250</v>
      </c>
      <c r="Q6" s="5" t="s">
        <v>28</v>
      </c>
      <c r="R6" s="2" t="s">
        <v>79</v>
      </c>
    </row>
    <row r="7" spans="1:24" ht="45" x14ac:dyDescent="0.25">
      <c r="A7" s="1">
        <v>17</v>
      </c>
      <c r="B7" s="1" t="s">
        <v>74</v>
      </c>
      <c r="C7" s="2" t="s">
        <v>45</v>
      </c>
      <c r="D7" s="2" t="s">
        <v>35</v>
      </c>
      <c r="E7" s="8" t="s">
        <v>155</v>
      </c>
      <c r="F7" s="3" t="s">
        <v>75</v>
      </c>
      <c r="G7" s="3" t="s">
        <v>75</v>
      </c>
      <c r="H7" s="3" t="s">
        <v>81</v>
      </c>
      <c r="I7" s="3" t="s">
        <v>21</v>
      </c>
      <c r="J7" s="3" t="s">
        <v>22</v>
      </c>
      <c r="K7" s="3">
        <v>1</v>
      </c>
      <c r="L7" s="3" t="s">
        <v>38</v>
      </c>
      <c r="M7" s="3" t="s">
        <v>39</v>
      </c>
      <c r="N7" s="3">
        <v>100</v>
      </c>
      <c r="O7" s="3" t="s">
        <v>40</v>
      </c>
      <c r="P7" s="4">
        <f>100000/K7</f>
        <v>100000</v>
      </c>
      <c r="Q7" s="5" t="s">
        <v>82</v>
      </c>
      <c r="R7" s="2" t="s">
        <v>79</v>
      </c>
    </row>
    <row r="8" spans="1:24" ht="30" x14ac:dyDescent="0.25">
      <c r="A8" s="1">
        <v>20</v>
      </c>
      <c r="B8" s="1" t="s">
        <v>74</v>
      </c>
      <c r="C8" s="2" t="s">
        <v>47</v>
      </c>
      <c r="D8" s="2" t="s">
        <v>35</v>
      </c>
      <c r="E8" s="8" t="s">
        <v>155</v>
      </c>
      <c r="F8" s="3" t="s">
        <v>75</v>
      </c>
      <c r="G8" s="3" t="s">
        <v>75</v>
      </c>
      <c r="H8" s="3" t="s">
        <v>83</v>
      </c>
      <c r="I8" s="3" t="s">
        <v>68</v>
      </c>
      <c r="J8" s="3" t="s">
        <v>27</v>
      </c>
      <c r="K8" s="3">
        <v>1E-3</v>
      </c>
      <c r="L8" s="3" t="s">
        <v>38</v>
      </c>
      <c r="M8" s="3" t="s">
        <v>39</v>
      </c>
      <c r="N8" s="3">
        <v>100</v>
      </c>
      <c r="O8" s="3" t="s">
        <v>40</v>
      </c>
      <c r="P8" s="4">
        <f>100000/K8</f>
        <v>100000000</v>
      </c>
      <c r="Q8" s="5" t="s">
        <v>76</v>
      </c>
      <c r="R8" s="2" t="s">
        <v>79</v>
      </c>
    </row>
    <row r="9" spans="1:24" ht="30" x14ac:dyDescent="0.25">
      <c r="A9" s="1">
        <v>23</v>
      </c>
      <c r="B9" s="1" t="s">
        <v>74</v>
      </c>
      <c r="C9" s="2" t="s">
        <v>49</v>
      </c>
      <c r="D9" s="2" t="s">
        <v>35</v>
      </c>
      <c r="E9" s="8" t="s">
        <v>155</v>
      </c>
      <c r="F9" s="3" t="s">
        <v>75</v>
      </c>
      <c r="G9" s="3" t="s">
        <v>75</v>
      </c>
      <c r="H9" s="3" t="s">
        <v>80</v>
      </c>
      <c r="I9" s="3" t="s">
        <v>21</v>
      </c>
      <c r="J9" s="3" t="s">
        <v>27</v>
      </c>
      <c r="K9" s="3">
        <v>400</v>
      </c>
      <c r="L9" s="3" t="s">
        <v>38</v>
      </c>
      <c r="M9" s="3" t="s">
        <v>39</v>
      </c>
      <c r="N9" s="3">
        <v>100</v>
      </c>
      <c r="O9" s="3" t="s">
        <v>40</v>
      </c>
      <c r="P9" s="4">
        <f>100000/K9</f>
        <v>250</v>
      </c>
      <c r="Q9" s="5" t="s">
        <v>28</v>
      </c>
      <c r="R9" s="2" t="s">
        <v>79</v>
      </c>
    </row>
    <row r="10" spans="1:24" s="2" customFormat="1" ht="45" x14ac:dyDescent="0.25">
      <c r="A10" s="1">
        <v>26</v>
      </c>
      <c r="B10" s="1" t="s">
        <v>74</v>
      </c>
      <c r="C10" s="2" t="s">
        <v>51</v>
      </c>
      <c r="D10" s="2" t="s">
        <v>35</v>
      </c>
      <c r="E10" s="8" t="s">
        <v>155</v>
      </c>
      <c r="F10" s="3" t="s">
        <v>75</v>
      </c>
      <c r="G10" s="3" t="s">
        <v>75</v>
      </c>
      <c r="H10" s="3" t="s">
        <v>81</v>
      </c>
      <c r="I10" s="3" t="s">
        <v>21</v>
      </c>
      <c r="J10" s="3" t="s">
        <v>22</v>
      </c>
      <c r="K10" s="3">
        <v>1</v>
      </c>
      <c r="L10" s="3" t="s">
        <v>38</v>
      </c>
      <c r="M10" s="3" t="s">
        <v>39</v>
      </c>
      <c r="N10" s="3">
        <v>100</v>
      </c>
      <c r="O10" s="3" t="s">
        <v>40</v>
      </c>
      <c r="P10" s="4">
        <f>100000/K10</f>
        <v>100000</v>
      </c>
      <c r="Q10" s="5" t="s">
        <v>82</v>
      </c>
      <c r="R10" s="2" t="s">
        <v>79</v>
      </c>
    </row>
    <row r="11" spans="1:24" s="2" customFormat="1" ht="45" x14ac:dyDescent="0.25">
      <c r="A11" s="1">
        <v>30</v>
      </c>
      <c r="B11" s="1" t="s">
        <v>74</v>
      </c>
      <c r="C11" s="8" t="s">
        <v>112</v>
      </c>
      <c r="D11" s="8" t="s">
        <v>109</v>
      </c>
      <c r="E11" s="8" t="s">
        <v>155</v>
      </c>
      <c r="F11" s="3" t="s">
        <v>75</v>
      </c>
      <c r="G11" s="3" t="s">
        <v>75</v>
      </c>
      <c r="H11" s="3" t="s">
        <v>113</v>
      </c>
      <c r="I11" s="11" t="s">
        <v>21</v>
      </c>
      <c r="J11" s="3" t="s">
        <v>27</v>
      </c>
      <c r="K11" s="3">
        <v>1</v>
      </c>
      <c r="L11" s="11" t="s">
        <v>69</v>
      </c>
      <c r="M11" s="3" t="s">
        <v>39</v>
      </c>
      <c r="N11" s="3">
        <v>100000</v>
      </c>
      <c r="O11" s="3" t="s">
        <v>151</v>
      </c>
      <c r="P11" s="4">
        <f>100000/K11</f>
        <v>100000</v>
      </c>
      <c r="Q11" s="5" t="s">
        <v>28</v>
      </c>
      <c r="R11" s="2" t="s">
        <v>79</v>
      </c>
    </row>
    <row r="12" spans="1:24" s="2" customFormat="1" ht="45" x14ac:dyDescent="0.25">
      <c r="A12" s="1">
        <v>31</v>
      </c>
      <c r="B12" s="1" t="s">
        <v>74</v>
      </c>
      <c r="C12" s="8" t="s">
        <v>114</v>
      </c>
      <c r="D12" s="8" t="s">
        <v>109</v>
      </c>
      <c r="E12" s="8" t="s">
        <v>155</v>
      </c>
      <c r="F12" s="3" t="s">
        <v>75</v>
      </c>
      <c r="G12" s="3" t="s">
        <v>75</v>
      </c>
      <c r="H12" s="3" t="s">
        <v>115</v>
      </c>
      <c r="I12" s="11" t="s">
        <v>21</v>
      </c>
      <c r="J12" s="3" t="s">
        <v>27</v>
      </c>
      <c r="K12" s="3">
        <v>1</v>
      </c>
      <c r="L12" s="11" t="s">
        <v>69</v>
      </c>
      <c r="M12" s="3" t="s">
        <v>39</v>
      </c>
      <c r="N12" s="3">
        <v>100000</v>
      </c>
      <c r="O12" s="3" t="s">
        <v>151</v>
      </c>
      <c r="P12" s="4">
        <f>100000/K12</f>
        <v>100000</v>
      </c>
      <c r="Q12" s="5" t="s">
        <v>28</v>
      </c>
      <c r="R12" s="2" t="s">
        <v>79</v>
      </c>
    </row>
    <row r="13" spans="1:24" s="10" customFormat="1" ht="120" x14ac:dyDescent="0.25">
      <c r="A13" s="1">
        <v>35</v>
      </c>
      <c r="B13" s="1" t="s">
        <v>74</v>
      </c>
      <c r="C13" s="2" t="s">
        <v>30</v>
      </c>
      <c r="D13" s="2" t="s">
        <v>18</v>
      </c>
      <c r="E13" s="8" t="s">
        <v>155</v>
      </c>
      <c r="F13" s="3">
        <v>33.299999999999997</v>
      </c>
      <c r="G13" s="3" t="s">
        <v>19</v>
      </c>
      <c r="H13" s="3" t="s">
        <v>77</v>
      </c>
      <c r="I13" s="3" t="s">
        <v>21</v>
      </c>
      <c r="J13" s="3" t="s">
        <v>22</v>
      </c>
      <c r="K13" s="3">
        <v>1</v>
      </c>
      <c r="L13" s="3" t="s">
        <v>38</v>
      </c>
      <c r="M13" s="3" t="s">
        <v>39</v>
      </c>
      <c r="N13" s="3">
        <v>100</v>
      </c>
      <c r="O13" s="3" t="s">
        <v>40</v>
      </c>
      <c r="P13" s="4">
        <f>100000/K13</f>
        <v>100000</v>
      </c>
      <c r="Q13" s="5" t="s">
        <v>78</v>
      </c>
      <c r="R13" s="2" t="s">
        <v>79</v>
      </c>
      <c r="S13" s="9"/>
      <c r="T13" s="9"/>
      <c r="U13" s="9"/>
      <c r="V13" s="9"/>
      <c r="W13" s="9"/>
      <c r="X13" s="9"/>
    </row>
    <row r="14" spans="1:24" s="2" customFormat="1" ht="30" x14ac:dyDescent="0.25">
      <c r="A14" s="1">
        <v>79</v>
      </c>
      <c r="B14" s="1" t="s">
        <v>74</v>
      </c>
      <c r="C14" t="s">
        <v>147</v>
      </c>
      <c r="D14" s="2" t="s">
        <v>35</v>
      </c>
      <c r="E14" s="8" t="s">
        <v>155</v>
      </c>
      <c r="F14" s="3" t="s">
        <v>75</v>
      </c>
      <c r="G14" s="3" t="s">
        <v>75</v>
      </c>
      <c r="H14" s="3" t="s">
        <v>149</v>
      </c>
      <c r="I14" s="3" t="s">
        <v>21</v>
      </c>
      <c r="J14" s="3" t="s">
        <v>27</v>
      </c>
      <c r="K14" s="3">
        <v>100</v>
      </c>
      <c r="L14" s="3" t="s">
        <v>38</v>
      </c>
      <c r="M14" s="3" t="s">
        <v>39</v>
      </c>
      <c r="N14" s="3">
        <v>100</v>
      </c>
      <c r="O14" s="3" t="s">
        <v>40</v>
      </c>
      <c r="P14" s="4">
        <f>100000/K14</f>
        <v>1000</v>
      </c>
      <c r="Q14" s="5"/>
    </row>
    <row r="15" spans="1:24" s="8" customFormat="1" x14ac:dyDescent="0.25">
      <c r="A15" s="1">
        <v>37</v>
      </c>
      <c r="B15" s="1" t="s">
        <v>74</v>
      </c>
      <c r="C15" t="s">
        <v>116</v>
      </c>
      <c r="D15" s="2" t="s">
        <v>35</v>
      </c>
      <c r="E15" s="8" t="s">
        <v>155</v>
      </c>
      <c r="F15" s="3" t="s">
        <v>75</v>
      </c>
      <c r="G15" s="3" t="s">
        <v>75</v>
      </c>
      <c r="H15" s="3" t="s">
        <v>137</v>
      </c>
      <c r="I15" s="3" t="s">
        <v>68</v>
      </c>
      <c r="J15" s="3" t="s">
        <v>27</v>
      </c>
      <c r="K15" s="12">
        <f>0.72441*500+0.27559*100</f>
        <v>389.76400000000001</v>
      </c>
      <c r="L15" s="3" t="s">
        <v>38</v>
      </c>
      <c r="M15" s="3" t="s">
        <v>39</v>
      </c>
      <c r="N15" s="3">
        <v>100</v>
      </c>
      <c r="O15" s="3" t="s">
        <v>40</v>
      </c>
      <c r="P15" s="4">
        <f>100000000/K15</f>
        <v>256565.5114376905</v>
      </c>
      <c r="Q15" s="5"/>
      <c r="R15" s="2"/>
    </row>
    <row r="16" spans="1:24" s="2" customFormat="1" ht="75" x14ac:dyDescent="0.25">
      <c r="A16" s="1">
        <v>41</v>
      </c>
      <c r="B16" s="1" t="s">
        <v>74</v>
      </c>
      <c r="C16" s="2" t="s">
        <v>54</v>
      </c>
      <c r="D16" s="2" t="s">
        <v>35</v>
      </c>
      <c r="E16" s="8" t="s">
        <v>155</v>
      </c>
      <c r="F16" s="3" t="s">
        <v>75</v>
      </c>
      <c r="G16" s="3" t="s">
        <v>75</v>
      </c>
      <c r="H16" s="3" t="s">
        <v>84</v>
      </c>
      <c r="I16" s="3" t="s">
        <v>21</v>
      </c>
      <c r="J16" s="3" t="s">
        <v>22</v>
      </c>
      <c r="K16" s="3">
        <v>9130</v>
      </c>
      <c r="L16" s="3" t="s">
        <v>38</v>
      </c>
      <c r="M16" s="3" t="s">
        <v>39</v>
      </c>
      <c r="N16" s="3">
        <v>100</v>
      </c>
      <c r="O16" s="3" t="s">
        <v>40</v>
      </c>
      <c r="P16" s="4">
        <f>100000/K16</f>
        <v>10.95290251916758</v>
      </c>
      <c r="Q16" s="5" t="s">
        <v>57</v>
      </c>
      <c r="R16" s="2" t="s">
        <v>85</v>
      </c>
    </row>
    <row r="17" spans="1:24" s="2" customFormat="1" ht="75" x14ac:dyDescent="0.25">
      <c r="A17" s="1">
        <v>42</v>
      </c>
      <c r="B17" s="1" t="s">
        <v>74</v>
      </c>
      <c r="C17" s="2" t="s">
        <v>58</v>
      </c>
      <c r="D17" s="2" t="s">
        <v>35</v>
      </c>
      <c r="E17" s="8" t="s">
        <v>155</v>
      </c>
      <c r="F17" s="3" t="s">
        <v>75</v>
      </c>
      <c r="G17" s="3" t="s">
        <v>75</v>
      </c>
      <c r="H17" s="3" t="s">
        <v>86</v>
      </c>
      <c r="I17" s="3" t="s">
        <v>60</v>
      </c>
      <c r="J17" s="3" t="s">
        <v>22</v>
      </c>
      <c r="K17" s="3">
        <v>13787</v>
      </c>
      <c r="L17" s="3" t="s">
        <v>38</v>
      </c>
      <c r="M17" s="3" t="s">
        <v>39</v>
      </c>
      <c r="N17" s="3">
        <v>100</v>
      </c>
      <c r="O17" s="3" t="s">
        <v>40</v>
      </c>
      <c r="P17" s="4">
        <f>100000/K17</f>
        <v>7.2532095452237613</v>
      </c>
      <c r="Q17" s="5" t="s">
        <v>61</v>
      </c>
      <c r="R17" s="2" t="s">
        <v>87</v>
      </c>
    </row>
    <row r="18" spans="1:24" s="2" customFormat="1" x14ac:dyDescent="0.25">
      <c r="A18" s="1">
        <v>43</v>
      </c>
      <c r="B18" s="1" t="s">
        <v>74</v>
      </c>
      <c r="C18" s="2" t="s">
        <v>104</v>
      </c>
      <c r="D18" s="2" t="s">
        <v>100</v>
      </c>
      <c r="E18" s="8" t="s">
        <v>155</v>
      </c>
      <c r="F18" s="3">
        <v>33.299999999999997</v>
      </c>
      <c r="G18" s="3" t="s">
        <v>19</v>
      </c>
      <c r="H18" s="7" t="s">
        <v>153</v>
      </c>
      <c r="I18" s="3" t="s">
        <v>21</v>
      </c>
      <c r="J18" s="3" t="s">
        <v>27</v>
      </c>
      <c r="K18" s="3">
        <v>1</v>
      </c>
      <c r="L18" s="3" t="s">
        <v>105</v>
      </c>
      <c r="M18" s="3" t="s">
        <v>101</v>
      </c>
      <c r="N18" s="3">
        <v>100</v>
      </c>
      <c r="O18" s="3" t="s">
        <v>25</v>
      </c>
      <c r="P18" s="4">
        <f>100000000/(K18*F18)</f>
        <v>3003003.0030030031</v>
      </c>
      <c r="Q18" s="5" t="s">
        <v>152</v>
      </c>
      <c r="R18" s="2" t="s">
        <v>103</v>
      </c>
    </row>
    <row r="19" spans="1:24" s="2" customFormat="1" x14ac:dyDescent="0.25">
      <c r="A19" s="1">
        <v>50</v>
      </c>
      <c r="B19" s="1" t="s">
        <v>74</v>
      </c>
      <c r="C19" t="s">
        <v>117</v>
      </c>
      <c r="D19" s="2" t="s">
        <v>35</v>
      </c>
      <c r="E19" s="8" t="s">
        <v>155</v>
      </c>
      <c r="F19" s="3" t="s">
        <v>75</v>
      </c>
      <c r="G19" s="3" t="s">
        <v>75</v>
      </c>
      <c r="H19" s="3" t="s">
        <v>138</v>
      </c>
      <c r="I19" s="3" t="s">
        <v>21</v>
      </c>
      <c r="J19" s="3" t="s">
        <v>27</v>
      </c>
      <c r="K19" s="3">
        <v>380</v>
      </c>
      <c r="L19" s="3" t="s">
        <v>38</v>
      </c>
      <c r="M19" s="3" t="s">
        <v>39</v>
      </c>
      <c r="N19" s="3">
        <v>100</v>
      </c>
      <c r="O19" s="3" t="s">
        <v>40</v>
      </c>
      <c r="P19" s="4">
        <f>100000000/K19</f>
        <v>263157.89473684208</v>
      </c>
      <c r="Q19" s="5"/>
    </row>
    <row r="20" spans="1:24" s="3" customFormat="1" ht="45" x14ac:dyDescent="0.25">
      <c r="A20" s="1">
        <v>54</v>
      </c>
      <c r="B20" s="1" t="s">
        <v>74</v>
      </c>
      <c r="C20" s="2" t="s">
        <v>62</v>
      </c>
      <c r="D20" s="2" t="s">
        <v>35</v>
      </c>
      <c r="E20" s="8" t="s">
        <v>155</v>
      </c>
      <c r="F20" s="3" t="s">
        <v>75</v>
      </c>
      <c r="G20" s="3" t="s">
        <v>75</v>
      </c>
      <c r="H20" s="3" t="s">
        <v>88</v>
      </c>
      <c r="I20" s="3" t="s">
        <v>26</v>
      </c>
      <c r="J20" s="3" t="s">
        <v>27</v>
      </c>
      <c r="K20" s="3">
        <v>1000</v>
      </c>
      <c r="L20" s="3" t="s">
        <v>38</v>
      </c>
      <c r="M20" s="3" t="s">
        <v>39</v>
      </c>
      <c r="N20" s="3">
        <v>100</v>
      </c>
      <c r="O20" s="3" t="s">
        <v>40</v>
      </c>
      <c r="P20" s="4">
        <f>100000/K20</f>
        <v>100</v>
      </c>
      <c r="Q20" s="5" t="s">
        <v>28</v>
      </c>
      <c r="R20" s="2" t="s">
        <v>89</v>
      </c>
      <c r="S20" s="6"/>
      <c r="T20" s="6"/>
      <c r="U20" s="6"/>
      <c r="V20" s="6"/>
      <c r="W20" s="6"/>
      <c r="X20" s="6"/>
    </row>
    <row r="21" spans="1:24" s="3" customFormat="1" ht="30" x14ac:dyDescent="0.25">
      <c r="A21" s="1">
        <v>55</v>
      </c>
      <c r="B21" s="1" t="s">
        <v>74</v>
      </c>
      <c r="C21" s="8" t="s">
        <v>118</v>
      </c>
      <c r="D21" s="2" t="s">
        <v>35</v>
      </c>
      <c r="E21" s="8" t="s">
        <v>155</v>
      </c>
      <c r="F21" s="3" t="s">
        <v>75</v>
      </c>
      <c r="G21" s="3" t="s">
        <v>75</v>
      </c>
      <c r="H21" s="3" t="s">
        <v>139</v>
      </c>
      <c r="I21" s="3" t="s">
        <v>68</v>
      </c>
      <c r="J21" s="3" t="s">
        <v>27</v>
      </c>
      <c r="K21" s="3">
        <v>1000</v>
      </c>
      <c r="L21" s="3" t="s">
        <v>38</v>
      </c>
      <c r="M21" s="3" t="s">
        <v>39</v>
      </c>
      <c r="N21" s="3">
        <v>100</v>
      </c>
      <c r="O21" s="3" t="s">
        <v>40</v>
      </c>
      <c r="P21" s="4">
        <f>100000000/K21</f>
        <v>100000</v>
      </c>
      <c r="Q21" s="5"/>
      <c r="R21" s="2"/>
      <c r="S21" s="6"/>
      <c r="T21" s="6"/>
      <c r="U21" s="6"/>
      <c r="V21" s="6"/>
      <c r="W21" s="6"/>
      <c r="X21" s="6"/>
    </row>
    <row r="22" spans="1:24" s="3" customFormat="1" x14ac:dyDescent="0.25">
      <c r="A22" s="1">
        <v>56</v>
      </c>
      <c r="B22" s="1" t="s">
        <v>74</v>
      </c>
      <c r="C22" t="s">
        <v>119</v>
      </c>
      <c r="D22" s="2" t="s">
        <v>35</v>
      </c>
      <c r="E22" s="8" t="s">
        <v>155</v>
      </c>
      <c r="F22" s="3" t="s">
        <v>75</v>
      </c>
      <c r="G22" s="3" t="s">
        <v>75</v>
      </c>
      <c r="H22" s="3" t="s">
        <v>140</v>
      </c>
      <c r="I22" s="3" t="s">
        <v>21</v>
      </c>
      <c r="J22" s="3" t="s">
        <v>27</v>
      </c>
      <c r="K22" s="3">
        <v>500</v>
      </c>
      <c r="L22" s="3" t="s">
        <v>38</v>
      </c>
      <c r="M22" s="3" t="s">
        <v>39</v>
      </c>
      <c r="N22" s="3">
        <v>100</v>
      </c>
      <c r="O22" s="3" t="s">
        <v>40</v>
      </c>
      <c r="P22" s="4">
        <f>100000000/K22</f>
        <v>200000</v>
      </c>
      <c r="Q22" s="5"/>
      <c r="R22" s="2"/>
      <c r="S22" s="6"/>
      <c r="T22" s="6"/>
      <c r="U22" s="6"/>
      <c r="V22" s="6"/>
      <c r="W22" s="6"/>
      <c r="X22" s="6"/>
    </row>
    <row r="23" spans="1:24" s="3" customFormat="1" ht="60" x14ac:dyDescent="0.25">
      <c r="A23" s="1">
        <v>57</v>
      </c>
      <c r="B23" s="1" t="s">
        <v>74</v>
      </c>
      <c r="C23" s="2" t="s">
        <v>90</v>
      </c>
      <c r="D23" s="2" t="s">
        <v>35</v>
      </c>
      <c r="E23" s="8" t="s">
        <v>155</v>
      </c>
      <c r="F23" s="3" t="s">
        <v>75</v>
      </c>
      <c r="G23" s="3" t="s">
        <v>75</v>
      </c>
      <c r="H23" s="3" t="s">
        <v>91</v>
      </c>
      <c r="I23" s="3" t="s">
        <v>21</v>
      </c>
      <c r="J23" s="3" t="s">
        <v>22</v>
      </c>
      <c r="K23" s="3">
        <v>0.56999999999999995</v>
      </c>
      <c r="L23" s="3" t="s">
        <v>38</v>
      </c>
      <c r="M23" s="3" t="s">
        <v>39</v>
      </c>
      <c r="N23" s="3">
        <v>100</v>
      </c>
      <c r="O23" s="3" t="s">
        <v>40</v>
      </c>
      <c r="P23" s="4">
        <f>100000/K23</f>
        <v>175438.59649122809</v>
      </c>
      <c r="Q23" s="5" t="s">
        <v>92</v>
      </c>
      <c r="R23" s="2" t="s">
        <v>79</v>
      </c>
      <c r="S23" s="6"/>
      <c r="T23" s="6"/>
      <c r="U23" s="6"/>
      <c r="V23" s="6"/>
      <c r="W23" s="6"/>
      <c r="X23" s="6"/>
    </row>
    <row r="24" spans="1:24" ht="75" x14ac:dyDescent="0.25">
      <c r="A24" s="1">
        <v>59</v>
      </c>
      <c r="B24" s="1" t="s">
        <v>74</v>
      </c>
      <c r="C24" s="2" t="s">
        <v>106</v>
      </c>
      <c r="D24" s="2" t="s">
        <v>100</v>
      </c>
      <c r="E24" s="8" t="s">
        <v>155</v>
      </c>
      <c r="F24" s="3" t="s">
        <v>75</v>
      </c>
      <c r="G24" s="3" t="s">
        <v>75</v>
      </c>
      <c r="H24" s="3" t="s">
        <v>84</v>
      </c>
      <c r="I24" s="3" t="s">
        <v>21</v>
      </c>
      <c r="J24" s="3" t="s">
        <v>22</v>
      </c>
      <c r="K24" s="3">
        <v>9130</v>
      </c>
      <c r="L24" s="3" t="s">
        <v>38</v>
      </c>
      <c r="M24" s="3" t="s">
        <v>39</v>
      </c>
      <c r="N24" s="3">
        <v>100</v>
      </c>
      <c r="O24" s="3" t="s">
        <v>25</v>
      </c>
      <c r="P24" s="4">
        <f>100000/K24</f>
        <v>10.95290251916758</v>
      </c>
      <c r="Q24" s="5" t="s">
        <v>57</v>
      </c>
      <c r="R24" s="2" t="s">
        <v>107</v>
      </c>
    </row>
    <row r="25" spans="1:24" ht="60" x14ac:dyDescent="0.25">
      <c r="A25" s="1">
        <v>60</v>
      </c>
      <c r="B25" s="1" t="s">
        <v>74</v>
      </c>
      <c r="C25" s="2" t="s">
        <v>93</v>
      </c>
      <c r="D25" s="2" t="s">
        <v>35</v>
      </c>
      <c r="E25" s="8" t="s">
        <v>155</v>
      </c>
      <c r="F25" s="3" t="s">
        <v>75</v>
      </c>
      <c r="G25" s="3" t="s">
        <v>75</v>
      </c>
      <c r="H25" s="3" t="s">
        <v>94</v>
      </c>
      <c r="I25" s="3" t="s">
        <v>21</v>
      </c>
      <c r="J25" s="3" t="s">
        <v>22</v>
      </c>
      <c r="K25" s="3">
        <v>1</v>
      </c>
      <c r="L25" s="3" t="s">
        <v>38</v>
      </c>
      <c r="M25" s="3" t="s">
        <v>39</v>
      </c>
      <c r="N25" s="3">
        <v>100</v>
      </c>
      <c r="O25" s="3" t="s">
        <v>40</v>
      </c>
      <c r="P25" s="4">
        <f>100000/K25</f>
        <v>100000</v>
      </c>
      <c r="Q25" s="5" t="s">
        <v>95</v>
      </c>
      <c r="R25" s="2" t="s">
        <v>96</v>
      </c>
    </row>
    <row r="26" spans="1:24" ht="30" x14ac:dyDescent="0.25">
      <c r="A26" s="1">
        <v>61</v>
      </c>
      <c r="B26" s="1" t="s">
        <v>74</v>
      </c>
      <c r="C26" s="8" t="s">
        <v>120</v>
      </c>
      <c r="D26" s="2" t="s">
        <v>35</v>
      </c>
      <c r="E26" s="8" t="s">
        <v>155</v>
      </c>
      <c r="F26" s="3" t="s">
        <v>75</v>
      </c>
      <c r="G26" s="3" t="s">
        <v>75</v>
      </c>
      <c r="H26" s="3" t="s">
        <v>141</v>
      </c>
      <c r="I26" s="3" t="s">
        <v>68</v>
      </c>
      <c r="J26" s="3" t="s">
        <v>27</v>
      </c>
      <c r="K26" s="3">
        <v>50</v>
      </c>
      <c r="L26" s="3" t="s">
        <v>38</v>
      </c>
      <c r="M26" s="3" t="s">
        <v>39</v>
      </c>
      <c r="N26" s="3">
        <v>100</v>
      </c>
      <c r="O26" s="3" t="s">
        <v>40</v>
      </c>
      <c r="P26" s="4">
        <f>100000/K26</f>
        <v>2000</v>
      </c>
    </row>
    <row r="27" spans="1:24" ht="30" x14ac:dyDescent="0.25">
      <c r="A27" s="1">
        <v>63</v>
      </c>
      <c r="B27" s="1" t="s">
        <v>74</v>
      </c>
      <c r="C27" s="8" t="s">
        <v>121</v>
      </c>
      <c r="D27" s="2" t="s">
        <v>35</v>
      </c>
      <c r="E27" s="8" t="s">
        <v>155</v>
      </c>
      <c r="F27" s="3" t="s">
        <v>75</v>
      </c>
      <c r="G27" s="3" t="s">
        <v>75</v>
      </c>
      <c r="H27" s="3" t="s">
        <v>142</v>
      </c>
      <c r="I27" s="3" t="s">
        <v>68</v>
      </c>
      <c r="J27" s="3" t="s">
        <v>27</v>
      </c>
      <c r="K27" s="3">
        <v>20</v>
      </c>
      <c r="L27" s="3" t="s">
        <v>38</v>
      </c>
      <c r="M27" s="3" t="s">
        <v>39</v>
      </c>
      <c r="N27" s="3">
        <v>100</v>
      </c>
      <c r="O27" s="3" t="s">
        <v>40</v>
      </c>
      <c r="P27" s="4">
        <f>100000000/K27</f>
        <v>5000000</v>
      </c>
    </row>
    <row r="28" spans="1:24" ht="75" x14ac:dyDescent="0.25">
      <c r="A28" s="1">
        <v>64</v>
      </c>
      <c r="B28" s="1" t="s">
        <v>74</v>
      </c>
      <c r="C28" s="2" t="s">
        <v>64</v>
      </c>
      <c r="D28" s="2" t="s">
        <v>35</v>
      </c>
      <c r="E28" s="8" t="s">
        <v>155</v>
      </c>
      <c r="F28" s="3" t="s">
        <v>75</v>
      </c>
      <c r="G28" s="3" t="s">
        <v>75</v>
      </c>
      <c r="H28" s="7" t="s">
        <v>145</v>
      </c>
      <c r="I28" s="3" t="s">
        <v>56</v>
      </c>
      <c r="J28" s="3" t="s">
        <v>22</v>
      </c>
      <c r="K28" s="3">
        <v>1</v>
      </c>
      <c r="L28" s="3" t="s">
        <v>38</v>
      </c>
      <c r="M28" s="3" t="s">
        <v>39</v>
      </c>
      <c r="N28" s="3">
        <v>100</v>
      </c>
      <c r="O28" s="3" t="s">
        <v>40</v>
      </c>
      <c r="P28" s="4">
        <f>100000/K28</f>
        <v>100000</v>
      </c>
      <c r="Q28" s="5" t="s">
        <v>97</v>
      </c>
      <c r="R28" s="2" t="s">
        <v>79</v>
      </c>
    </row>
    <row r="29" spans="1:24" ht="60" x14ac:dyDescent="0.25">
      <c r="A29" s="1">
        <v>65</v>
      </c>
      <c r="B29" s="1" t="s">
        <v>74</v>
      </c>
      <c r="C29" s="2" t="s">
        <v>66</v>
      </c>
      <c r="D29" s="2" t="s">
        <v>35</v>
      </c>
      <c r="E29" s="8" t="s">
        <v>155</v>
      </c>
      <c r="F29" s="3" t="s">
        <v>75</v>
      </c>
      <c r="G29" s="3" t="s">
        <v>75</v>
      </c>
      <c r="H29" s="3" t="s">
        <v>146</v>
      </c>
      <c r="I29" s="3" t="s">
        <v>56</v>
      </c>
      <c r="J29" s="3" t="s">
        <v>22</v>
      </c>
      <c r="K29" s="3">
        <v>1</v>
      </c>
      <c r="L29" s="3" t="s">
        <v>38</v>
      </c>
      <c r="M29" s="3" t="s">
        <v>39</v>
      </c>
      <c r="N29" s="3">
        <v>100</v>
      </c>
      <c r="O29" s="3" t="s">
        <v>40</v>
      </c>
      <c r="P29" s="4">
        <f>100000/K29</f>
        <v>100000</v>
      </c>
      <c r="Q29" s="5" t="s">
        <v>98</v>
      </c>
      <c r="R29" s="2" t="s">
        <v>79</v>
      </c>
    </row>
    <row r="30" spans="1:24" ht="60" x14ac:dyDescent="0.25">
      <c r="A30" s="1">
        <v>66</v>
      </c>
      <c r="B30" s="1" t="s">
        <v>74</v>
      </c>
      <c r="C30" s="2" t="s">
        <v>67</v>
      </c>
      <c r="D30" s="2" t="s">
        <v>35</v>
      </c>
      <c r="E30" s="8" t="s">
        <v>155</v>
      </c>
      <c r="F30" s="3" t="s">
        <v>75</v>
      </c>
      <c r="G30" s="3" t="s">
        <v>75</v>
      </c>
      <c r="H30" s="3" t="s">
        <v>146</v>
      </c>
      <c r="I30" s="3" t="s">
        <v>56</v>
      </c>
      <c r="J30" s="3" t="s">
        <v>22</v>
      </c>
      <c r="K30" s="3">
        <v>1</v>
      </c>
      <c r="L30" s="3" t="s">
        <v>38</v>
      </c>
      <c r="M30" s="3" t="s">
        <v>39</v>
      </c>
      <c r="N30" s="3">
        <v>100</v>
      </c>
      <c r="O30" s="3" t="s">
        <v>40</v>
      </c>
      <c r="P30" s="4">
        <f>100000/K30</f>
        <v>100000</v>
      </c>
      <c r="Q30" s="5" t="s">
        <v>98</v>
      </c>
      <c r="R30" s="2" t="s">
        <v>79</v>
      </c>
    </row>
    <row r="31" spans="1:24" ht="45" x14ac:dyDescent="0.25">
      <c r="A31" s="1">
        <v>67</v>
      </c>
      <c r="B31" s="1" t="s">
        <v>74</v>
      </c>
      <c r="C31" s="2" t="s">
        <v>156</v>
      </c>
      <c r="D31" s="2" t="s">
        <v>109</v>
      </c>
      <c r="E31" s="2" t="s">
        <v>155</v>
      </c>
      <c r="F31" s="3" t="s">
        <v>75</v>
      </c>
      <c r="G31" s="3" t="s">
        <v>75</v>
      </c>
      <c r="H31" s="3" t="s">
        <v>157</v>
      </c>
      <c r="I31" s="3" t="s">
        <v>21</v>
      </c>
      <c r="J31" s="3" t="s">
        <v>27</v>
      </c>
      <c r="K31" s="3">
        <v>1</v>
      </c>
      <c r="L31" s="11" t="s">
        <v>69</v>
      </c>
      <c r="M31" s="3" t="s">
        <v>39</v>
      </c>
      <c r="N31" s="3">
        <v>100000</v>
      </c>
      <c r="O31" s="3" t="s">
        <v>151</v>
      </c>
      <c r="P31" s="4">
        <f>100000/K31</f>
        <v>100000</v>
      </c>
      <c r="Q31" s="5" t="s">
        <v>28</v>
      </c>
      <c r="R31" s="2" t="s">
        <v>79</v>
      </c>
    </row>
  </sheetData>
  <autoFilter ref="A1:R30" xr:uid="{83FE04BF-65A1-4E2F-8950-AC77E7853D75}"/>
  <sortState xmlns:xlrd2="http://schemas.microsoft.com/office/spreadsheetml/2017/richdata2" ref="A2:R30">
    <sortCondition ref="C1:C3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Fulls de càlcul</vt:lpstr>
      </vt:variant>
      <vt:variant>
        <vt:i4>2</vt:i4>
      </vt:variant>
    </vt:vector>
  </HeadingPairs>
  <TitlesOfParts>
    <vt:vector size="2" baseType="lpstr">
      <vt:lpstr>o&amp;m</vt:lpstr>
      <vt:lpstr>infrastructure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Miquel Sierra Montoya</dc:creator>
  <cp:lastModifiedBy>Miquel Sierra Montoya</cp:lastModifiedBy>
  <dcterms:created xsi:type="dcterms:W3CDTF">2025-05-21T15:15:44Z</dcterms:created>
  <dcterms:modified xsi:type="dcterms:W3CDTF">2025-08-27T12:46:33Z</dcterms:modified>
</cp:coreProperties>
</file>